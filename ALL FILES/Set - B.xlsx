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hidePivotFieldList="1" defaultThemeVersion="166925"/>
  <xr:revisionPtr revIDLastSave="175" documentId="11_E60897F41BE170836B02CE998F75CCDC64E183C8" xr6:coauthVersionLast="47" xr6:coauthVersionMax="47" xr10:uidLastSave="{11A54BA1-7E98-4D9D-950E-5F28EC5F4E2B}"/>
  <bookViews>
    <workbookView xWindow="240" yWindow="105" windowWidth="14805" windowHeight="8010" firstSheet="2" activeTab="3" xr2:uid="{00000000-000D-0000-FFFF-FFFF00000000}"/>
  </bookViews>
  <sheets>
    <sheet name="Raw sheet" sheetId="1" r:id="rId1"/>
    <sheet name="Lookup" sheetId="2" r:id="rId2"/>
    <sheet name="clean sheet" sheetId="4" r:id="rId3"/>
    <sheet name="pivot &amp; charts" sheetId="5" r:id="rId4"/>
  </sheets>
  <calcPr calcId="191028"/>
  <pivotCaches>
    <pivotCache cacheId="2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4" l="1" a="1"/>
  <c r="H2" i="4"/>
  <c r="G10" i="4"/>
  <c r="G11" i="4"/>
  <c r="G3" i="4"/>
  <c r="G12" i="4"/>
  <c r="G13" i="4"/>
  <c r="G14" i="4"/>
  <c r="G2" i="4"/>
  <c r="G9" i="4"/>
  <c r="G8" i="4"/>
  <c r="G4" i="4"/>
  <c r="G7" i="4"/>
  <c r="G6" i="4"/>
  <c r="G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<sst xmlns="http://schemas.openxmlformats.org/spreadsheetml/2006/main" count="110" uniqueCount="25">
  <si>
    <t>ticket_id</t>
  </si>
  <si>
    <t>month</t>
  </si>
  <si>
    <t>team_id</t>
  </si>
  <si>
    <t>channel</t>
  </si>
  <si>
    <t>resolution_hours</t>
  </si>
  <si>
    <t>satisfaction</t>
  </si>
  <si>
    <t>Jan</t>
  </si>
  <si>
    <t>T1</t>
  </si>
  <si>
    <t>Email</t>
  </si>
  <si>
    <t>T2</t>
  </si>
  <si>
    <t>Chat</t>
  </si>
  <si>
    <t>T3</t>
  </si>
  <si>
    <t>Phone</t>
  </si>
  <si>
    <t>T4</t>
  </si>
  <si>
    <t>Feb</t>
  </si>
  <si>
    <t>Mar</t>
  </si>
  <si>
    <t>team</t>
  </si>
  <si>
    <t>department</t>
  </si>
  <si>
    <t>AccountCare</t>
  </si>
  <si>
    <t>Service</t>
  </si>
  <si>
    <t>BillingHelp</t>
  </si>
  <si>
    <t>AppSupport</t>
  </si>
  <si>
    <t>Technical</t>
  </si>
  <si>
    <t>DeviceHelp</t>
  </si>
  <si>
    <t xml:space="preserve">breach_flag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</si>
</sst>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" fontId="1" fillId="0" borderId="1" xfId="0" applyNumberFormat="1" applyFont="1" applyBorder="1" applyAlignment="1">
      <alignment horizontal="center" wrapText="1"/>
    </xf>
    <xf numFmtId="1" fontId="0" fillId="0" borderId="1" xfId="0" applyNumberFormat="1" applyBorder="1" applyAlignment="1">
      <alignment horizontal="center" wrapText="1"/>
    </xf>
    <xf numFmtId="1" fontId="0" fillId="0" borderId="0" xfId="0" applyNumberFormat="1"/>
    <xf numFmtId="1" fontId="1" fillId="0" borderId="2" xfId="0" applyNumberFormat="1" applyFont="1" applyBorder="1" applyAlignment="1">
      <alignment horizontal="center" wrapText="1"/>
    </xf>
    <xf numFmtId="1" fontId="0" fillId="0" borderId="2" xfId="0" applyNumberFormat="1" applyBorder="1" applyAlignment="1">
      <alignment horizontal="center" wrapText="1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" xfId="0" applyFont="1" applyBorder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[Set - B.xlsx]pivot &amp; charts!PivotTable1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  AVG resolution_hours by department and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2"/>
        <c:overlap val="100"/>
        <c:axId val="377921032"/>
        <c:axId val="363184136"/>
      </c:barChart>
      <c:catAx>
        <c:axId val="377921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3184136"/>
        <c:crosses val="autoZero"/>
        <c:auto val="1"/>
        <c:lblAlgn val="ctr"/>
        <c:lblOffset val="100"/>
        <c:noMultiLvlLbl val="0"/>
      </c:catAx>
      <c:valAx>
        <c:axId val="363184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21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809625</xdr:colOff>
      <xdr:row>1</xdr:row>
      <xdr:rowOff>9525</xdr:rowOff>
    </xdr:from>
    <xdr:to>
      <xdr:col>10</xdr:col>
      <xdr:colOff>85725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0735C1-F7D7-3632-1985-0D3A202E2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1.475541898151" createdVersion="8" refreshedVersion="8" minRefreshableVersion="3" recordCount="13" xr:uid="{DF6D9AAD-61D7-4C38-B787-2600BD8AF34B}">
  <cacheSource type="worksheet">
    <worksheetSource ref="A1:H14" sheet="clean sheet"/>
  </cacheSource>
  <cacheFields count="8">
    <cacheField name="ticket_id" numFmtId="0">
      <sharedItems containsSemiMixedTypes="0" containsString="0" containsNumber="1" containsInteger="1" minValue="1" maxValue="12"/>
    </cacheField>
    <cacheField name="month" numFmtId="0">
      <sharedItems count="3">
        <s v="Jan"/>
        <s v="Feb"/>
        <s v="Mar"/>
      </sharedItems>
    </cacheField>
    <cacheField name="team_id" numFmtId="0">
      <sharedItems/>
    </cacheField>
    <cacheField name="channel" numFmtId="0">
      <sharedItems/>
    </cacheField>
    <cacheField name="resolution_hours" numFmtId="0">
      <sharedItems containsSemiMixedTypes="0" containsString="0" containsNumber="1" containsInteger="1" minValue="8" maxValue="40" count="12">
        <n v="12"/>
        <n v="28"/>
        <n v="36"/>
        <n v="20"/>
        <n v="8"/>
        <n v="30"/>
        <n v="18"/>
        <n v="40"/>
        <n v="16"/>
        <n v="22"/>
        <n v="32"/>
        <n v="24"/>
      </sharedItems>
    </cacheField>
    <cacheField name="satisfaction" numFmtId="0">
      <sharedItems containsSemiMixedTypes="0" containsString="0" containsNumber="1" containsInteger="1" minValue="2" maxValue="5"/>
    </cacheField>
    <cacheField name="department" numFmtId="0">
      <sharedItems count="2">
        <s v="Service"/>
        <s v="Technical"/>
      </sharedItems>
    </cacheField>
    <cacheField name="breach_flag 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n v="1"/>
    <x v="0"/>
    <s v="T1"/>
    <s v="Email"/>
    <x v="0"/>
    <n v="4"/>
    <x v="0"/>
    <n v="0"/>
  </r>
  <r>
    <n v="2"/>
    <x v="0"/>
    <s v="T2"/>
    <s v="Chat"/>
    <x v="1"/>
    <n v="3"/>
    <x v="0"/>
    <n v="1"/>
  </r>
  <r>
    <n v="3"/>
    <x v="0"/>
    <s v="T3"/>
    <s v="Phone"/>
    <x v="2"/>
    <n v="2"/>
    <x v="1"/>
    <n v="1"/>
  </r>
  <r>
    <n v="4"/>
    <x v="0"/>
    <s v="T4"/>
    <s v="Email"/>
    <x v="3"/>
    <n v="4"/>
    <x v="1"/>
    <n v="0"/>
  </r>
  <r>
    <n v="5"/>
    <x v="1"/>
    <s v="T1"/>
    <s v="Chat"/>
    <x v="4"/>
    <n v="5"/>
    <x v="0"/>
    <n v="0"/>
  </r>
  <r>
    <n v="6"/>
    <x v="1"/>
    <s v="T2"/>
    <s v="Phone"/>
    <x v="5"/>
    <n v="3"/>
    <x v="0"/>
    <n v="1"/>
  </r>
  <r>
    <n v="7"/>
    <x v="1"/>
    <s v="T3"/>
    <s v="Email"/>
    <x v="6"/>
    <n v="4"/>
    <x v="1"/>
    <n v="0"/>
  </r>
  <r>
    <n v="8"/>
    <x v="1"/>
    <s v="T4"/>
    <s v="Chat"/>
    <x v="7"/>
    <n v="2"/>
    <x v="1"/>
    <n v="1"/>
  </r>
  <r>
    <n v="9"/>
    <x v="2"/>
    <s v="T1"/>
    <s v="Phone"/>
    <x v="8"/>
    <n v="4"/>
    <x v="0"/>
    <n v="0"/>
  </r>
  <r>
    <n v="10"/>
    <x v="2"/>
    <s v="T2"/>
    <s v="Email"/>
    <x v="9"/>
    <n v="4"/>
    <x v="0"/>
    <n v="0"/>
  </r>
  <r>
    <n v="11"/>
    <x v="2"/>
    <s v="T3"/>
    <s v="Chat"/>
    <x v="10"/>
    <n v="3"/>
    <x v="1"/>
    <n v="1"/>
  </r>
  <r>
    <n v="12"/>
    <x v="2"/>
    <s v="T4"/>
    <s v="Phone"/>
    <x v="11"/>
    <n v="5"/>
    <x v="1"/>
    <n v="0"/>
  </r>
  <r>
    <n v="12"/>
    <x v="2"/>
    <s v="T4"/>
    <s v="Phone"/>
    <x v="11"/>
    <n v="5"/>
    <x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953990-38A8-4170-B7F9-9D1F6E30474E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C20" firstHeaderRow="1" firstDataRow="1" firstDataCol="0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activeCell="I7" sqref="I7"/>
    </sheetView>
  </sheetViews>
  <sheetFormatPr defaultRowHeight="15"/>
  <cols>
    <col min="1" max="1" width="10.28515625" customWidth="1"/>
    <col min="2" max="2" width="10.5703125" customWidth="1"/>
    <col min="3" max="3" width="11.7109375" customWidth="1"/>
    <col min="4" max="4" width="11.140625" customWidth="1"/>
    <col min="5" max="5" width="18.28515625" customWidth="1"/>
    <col min="6" max="6" width="14.2851562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5">
        <v>1</v>
      </c>
      <c r="B2" s="5" t="s">
        <v>6</v>
      </c>
      <c r="C2" s="5" t="s">
        <v>7</v>
      </c>
      <c r="D2" s="5" t="s">
        <v>8</v>
      </c>
      <c r="E2" s="5">
        <v>12</v>
      </c>
      <c r="F2" s="5">
        <v>4</v>
      </c>
    </row>
    <row r="3" spans="1:6">
      <c r="A3" s="5">
        <v>2</v>
      </c>
      <c r="B3" s="5" t="s">
        <v>6</v>
      </c>
      <c r="C3" s="5" t="s">
        <v>9</v>
      </c>
      <c r="D3" s="5" t="s">
        <v>10</v>
      </c>
      <c r="E3" s="5">
        <v>28</v>
      </c>
      <c r="F3" s="5">
        <v>3</v>
      </c>
    </row>
    <row r="4" spans="1:6">
      <c r="A4" s="5">
        <v>3</v>
      </c>
      <c r="B4" s="5" t="s">
        <v>6</v>
      </c>
      <c r="C4" s="5" t="s">
        <v>11</v>
      </c>
      <c r="D4" s="5" t="s">
        <v>12</v>
      </c>
      <c r="E4" s="5">
        <v>36</v>
      </c>
      <c r="F4" s="5">
        <v>2</v>
      </c>
    </row>
    <row r="5" spans="1:6">
      <c r="A5" s="5">
        <v>4</v>
      </c>
      <c r="B5" s="5" t="s">
        <v>6</v>
      </c>
      <c r="C5" s="5" t="s">
        <v>13</v>
      </c>
      <c r="D5" s="5" t="s">
        <v>8</v>
      </c>
      <c r="E5" s="5">
        <v>20</v>
      </c>
      <c r="F5" s="5">
        <v>4</v>
      </c>
    </row>
    <row r="6" spans="1:6">
      <c r="A6" s="5">
        <v>5</v>
      </c>
      <c r="B6" s="5" t="s">
        <v>14</v>
      </c>
      <c r="C6" s="5" t="s">
        <v>7</v>
      </c>
      <c r="D6" s="5" t="s">
        <v>10</v>
      </c>
      <c r="E6" s="5">
        <v>8</v>
      </c>
      <c r="F6" s="5">
        <v>5</v>
      </c>
    </row>
    <row r="7" spans="1:6">
      <c r="A7" s="5">
        <v>6</v>
      </c>
      <c r="B7" s="5" t="s">
        <v>14</v>
      </c>
      <c r="C7" s="5" t="s">
        <v>9</v>
      </c>
      <c r="D7" s="5" t="s">
        <v>12</v>
      </c>
      <c r="E7" s="5">
        <v>30</v>
      </c>
      <c r="F7" s="5">
        <v>3</v>
      </c>
    </row>
    <row r="8" spans="1:6">
      <c r="A8" s="5">
        <v>7</v>
      </c>
      <c r="B8" s="5" t="s">
        <v>14</v>
      </c>
      <c r="C8" s="5" t="s">
        <v>11</v>
      </c>
      <c r="D8" s="5" t="s">
        <v>8</v>
      </c>
      <c r="E8" s="5">
        <v>18</v>
      </c>
      <c r="F8" s="5">
        <v>4</v>
      </c>
    </row>
    <row r="9" spans="1:6">
      <c r="A9" s="5">
        <v>8</v>
      </c>
      <c r="B9" s="5" t="s">
        <v>14</v>
      </c>
      <c r="C9" s="5" t="s">
        <v>13</v>
      </c>
      <c r="D9" s="5" t="s">
        <v>10</v>
      </c>
      <c r="E9" s="5">
        <v>40</v>
      </c>
      <c r="F9" s="5">
        <v>2</v>
      </c>
    </row>
    <row r="10" spans="1:6">
      <c r="A10" s="5">
        <v>9</v>
      </c>
      <c r="B10" s="5" t="s">
        <v>15</v>
      </c>
      <c r="C10" s="5" t="s">
        <v>7</v>
      </c>
      <c r="D10" s="5" t="s">
        <v>12</v>
      </c>
      <c r="E10" s="5">
        <v>16</v>
      </c>
      <c r="F10" s="5">
        <v>4</v>
      </c>
    </row>
    <row r="11" spans="1:6">
      <c r="A11" s="5">
        <v>10</v>
      </c>
      <c r="B11" s="5" t="s">
        <v>15</v>
      </c>
      <c r="C11" s="5" t="s">
        <v>9</v>
      </c>
      <c r="D11" s="5" t="s">
        <v>8</v>
      </c>
      <c r="E11" s="5">
        <v>22</v>
      </c>
      <c r="F11" s="5">
        <v>4</v>
      </c>
    </row>
    <row r="12" spans="1:6">
      <c r="A12" s="5">
        <v>11</v>
      </c>
      <c r="B12" s="5" t="s">
        <v>15</v>
      </c>
      <c r="C12" s="5" t="s">
        <v>11</v>
      </c>
      <c r="D12" s="5" t="s">
        <v>10</v>
      </c>
      <c r="E12" s="5">
        <v>32</v>
      </c>
      <c r="F12" s="5">
        <v>3</v>
      </c>
    </row>
    <row r="13" spans="1:6">
      <c r="A13" s="5">
        <v>12</v>
      </c>
      <c r="B13" s="5" t="s">
        <v>15</v>
      </c>
      <c r="C13" s="5" t="s">
        <v>13</v>
      </c>
      <c r="D13" s="5" t="s">
        <v>12</v>
      </c>
      <c r="E13" s="5">
        <v>24</v>
      </c>
      <c r="F13" s="5">
        <v>5</v>
      </c>
    </row>
    <row r="14" spans="1:6">
      <c r="A14" s="5">
        <v>12</v>
      </c>
      <c r="B14" s="5" t="s">
        <v>15</v>
      </c>
      <c r="C14" s="5" t="s">
        <v>13</v>
      </c>
      <c r="D14" s="5" t="s">
        <v>12</v>
      </c>
      <c r="E14" s="5">
        <v>24</v>
      </c>
      <c r="F14" s="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0D53D-C9C0-4246-BF80-FA9AAF46BC6C}">
  <dimension ref="A1:C5"/>
  <sheetViews>
    <sheetView workbookViewId="0">
      <selection activeCell="D3" sqref="D3"/>
    </sheetView>
  </sheetViews>
  <sheetFormatPr defaultRowHeight="15"/>
  <cols>
    <col min="1" max="1" width="11.140625" customWidth="1"/>
    <col min="2" max="2" width="12.28515625" customWidth="1"/>
    <col min="3" max="3" width="12.85546875" customWidth="1"/>
  </cols>
  <sheetData>
    <row r="1" spans="1:3">
      <c r="A1" s="2" t="s">
        <v>2</v>
      </c>
      <c r="B1" s="2" t="s">
        <v>16</v>
      </c>
      <c r="C1" s="2" t="s">
        <v>17</v>
      </c>
    </row>
    <row r="2" spans="1:3">
      <c r="A2" s="1" t="s">
        <v>7</v>
      </c>
      <c r="B2" s="1" t="s">
        <v>18</v>
      </c>
      <c r="C2" s="1" t="s">
        <v>19</v>
      </c>
    </row>
    <row r="3" spans="1:3">
      <c r="A3" s="1" t="s">
        <v>9</v>
      </c>
      <c r="B3" s="1" t="s">
        <v>20</v>
      </c>
      <c r="C3" s="1" t="s">
        <v>19</v>
      </c>
    </row>
    <row r="4" spans="1:3">
      <c r="A4" s="1" t="s">
        <v>11</v>
      </c>
      <c r="B4" s="1" t="s">
        <v>21</v>
      </c>
      <c r="C4" s="1" t="s">
        <v>22</v>
      </c>
    </row>
    <row r="5" spans="1:3">
      <c r="A5" s="1" t="s">
        <v>13</v>
      </c>
      <c r="B5" s="1" t="s">
        <v>23</v>
      </c>
      <c r="C5" s="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5ECA9-3D3B-4819-B779-DAD016017E09}">
  <dimension ref="A1:L14"/>
  <sheetViews>
    <sheetView workbookViewId="0">
      <selection activeCell="I8" sqref="I8"/>
    </sheetView>
  </sheetViews>
  <sheetFormatPr defaultRowHeight="15"/>
  <cols>
    <col min="1" max="1" width="10.28515625" style="19" customWidth="1"/>
    <col min="2" max="2" width="10.5703125" customWidth="1"/>
    <col min="3" max="3" width="11.7109375" customWidth="1"/>
    <col min="4" max="4" width="11.140625" customWidth="1"/>
    <col min="5" max="5" width="18.28515625" style="19" customWidth="1"/>
    <col min="6" max="6" width="14.28515625" style="19" customWidth="1"/>
    <col min="7" max="7" width="13.42578125" customWidth="1"/>
    <col min="8" max="8" width="13.28515625" style="19" customWidth="1"/>
  </cols>
  <sheetData>
    <row r="1" spans="1:12">
      <c r="A1" s="17" t="s">
        <v>0</v>
      </c>
      <c r="B1" s="3" t="s">
        <v>1</v>
      </c>
      <c r="C1" s="3" t="s">
        <v>2</v>
      </c>
      <c r="D1" s="3" t="s">
        <v>3</v>
      </c>
      <c r="E1" s="17" t="s">
        <v>4</v>
      </c>
      <c r="F1" s="20" t="s">
        <v>5</v>
      </c>
      <c r="G1" s="6" t="s">
        <v>17</v>
      </c>
      <c r="H1" s="22" t="s">
        <v>24</v>
      </c>
    </row>
    <row r="2" spans="1:12">
      <c r="A2" s="18">
        <v>1</v>
      </c>
      <c r="B2" s="5" t="s">
        <v>6</v>
      </c>
      <c r="C2" s="5" t="s">
        <v>7</v>
      </c>
      <c r="D2" s="5" t="s">
        <v>8</v>
      </c>
      <c r="E2" s="18">
        <v>12</v>
      </c>
      <c r="F2" s="21">
        <v>4</v>
      </c>
      <c r="G2" s="7" t="str">
        <f>_xlfn.XLOOKUP(C2,Lookup!A2:A5,Lookup!C2:C5)</f>
        <v>Service</v>
      </c>
      <c r="H2" s="23" cm="1">
        <f t="array" ref="H2:H14">IF(E2:E14&gt;24,1,0)</f>
        <v>0</v>
      </c>
    </row>
    <row r="3" spans="1:12" ht="12.75" customHeight="1">
      <c r="A3" s="18">
        <v>2</v>
      </c>
      <c r="B3" s="5" t="s">
        <v>6</v>
      </c>
      <c r="C3" s="5" t="s">
        <v>9</v>
      </c>
      <c r="D3" s="5" t="s">
        <v>10</v>
      </c>
      <c r="E3" s="18">
        <v>28</v>
      </c>
      <c r="F3" s="21">
        <v>3</v>
      </c>
      <c r="G3" s="7" t="str">
        <f>_xlfn.XLOOKUP(C3,Lookup!A3:A6,Lookup!C3:C6)</f>
        <v>Service</v>
      </c>
      <c r="H3" s="24">
        <v>1</v>
      </c>
      <c r="K3" s="25" t="s">
        <v>8</v>
      </c>
      <c r="L3" s="4">
        <v>4</v>
      </c>
    </row>
    <row r="4" spans="1:12">
      <c r="A4" s="18">
        <v>3</v>
      </c>
      <c r="B4" s="5" t="s">
        <v>6</v>
      </c>
      <c r="C4" s="5" t="s">
        <v>11</v>
      </c>
      <c r="D4" s="5" t="s">
        <v>12</v>
      </c>
      <c r="E4" s="18">
        <v>36</v>
      </c>
      <c r="F4" s="21">
        <v>2</v>
      </c>
      <c r="G4" s="7" t="str">
        <f>_xlfn.XLOOKUP(C4,Lookup!A4:A7,Lookup!C4:C7)</f>
        <v>Technical</v>
      </c>
      <c r="H4" s="24">
        <v>1</v>
      </c>
      <c r="K4" s="25" t="s">
        <v>10</v>
      </c>
      <c r="L4" s="1">
        <v>3</v>
      </c>
    </row>
    <row r="5" spans="1:12">
      <c r="A5" s="18">
        <v>4</v>
      </c>
      <c r="B5" s="5" t="s">
        <v>6</v>
      </c>
      <c r="C5" s="5" t="s">
        <v>13</v>
      </c>
      <c r="D5" s="5" t="s">
        <v>8</v>
      </c>
      <c r="E5" s="18">
        <v>20</v>
      </c>
      <c r="F5" s="21">
        <v>4</v>
      </c>
      <c r="G5" s="7" t="str">
        <f>_xlfn.XLOOKUP(C5,Lookup!A5:A8,Lookup!C5:C8)</f>
        <v>Technical</v>
      </c>
      <c r="H5" s="24">
        <v>0</v>
      </c>
      <c r="K5" s="25" t="s">
        <v>12</v>
      </c>
      <c r="L5" s="1">
        <v>2</v>
      </c>
    </row>
    <row r="6" spans="1:12">
      <c r="A6" s="18">
        <v>5</v>
      </c>
      <c r="B6" s="5" t="s">
        <v>14</v>
      </c>
      <c r="C6" s="5" t="s">
        <v>7</v>
      </c>
      <c r="D6" s="5" t="s">
        <v>10</v>
      </c>
      <c r="E6" s="18">
        <v>8</v>
      </c>
      <c r="F6" s="21">
        <v>5</v>
      </c>
      <c r="G6" s="7" t="str">
        <f>_xlfn.XLOOKUP(C2,Lookup!A2:A5,Lookup!C2:C5)</f>
        <v>Service</v>
      </c>
      <c r="H6" s="24">
        <v>0</v>
      </c>
    </row>
    <row r="7" spans="1:12">
      <c r="A7" s="18">
        <v>6</v>
      </c>
      <c r="B7" s="5" t="s">
        <v>14</v>
      </c>
      <c r="C7" s="5" t="s">
        <v>9</v>
      </c>
      <c r="D7" s="5" t="s">
        <v>12</v>
      </c>
      <c r="E7" s="18">
        <v>30</v>
      </c>
      <c r="F7" s="21">
        <v>3</v>
      </c>
      <c r="G7" s="7" t="str">
        <f>_xlfn.XLOOKUP(C2,Lookup!A2:A5,Lookup!C2:C5)</f>
        <v>Service</v>
      </c>
      <c r="H7" s="24">
        <v>1</v>
      </c>
    </row>
    <row r="8" spans="1:12">
      <c r="A8" s="18">
        <v>7</v>
      </c>
      <c r="B8" s="5" t="s">
        <v>14</v>
      </c>
      <c r="C8" s="5" t="s">
        <v>11</v>
      </c>
      <c r="D8" s="5" t="s">
        <v>8</v>
      </c>
      <c r="E8" s="18">
        <v>18</v>
      </c>
      <c r="F8" s="21">
        <v>4</v>
      </c>
      <c r="G8" s="7" t="str">
        <f>_xlfn.XLOOKUP(C4,Lookup!A4:A7,Lookup!C4:C7)</f>
        <v>Technical</v>
      </c>
      <c r="H8" s="24">
        <v>0</v>
      </c>
    </row>
    <row r="9" spans="1:12">
      <c r="A9" s="18">
        <v>8</v>
      </c>
      <c r="B9" s="5" t="s">
        <v>14</v>
      </c>
      <c r="C9" s="5" t="s">
        <v>13</v>
      </c>
      <c r="D9" s="5" t="s">
        <v>10</v>
      </c>
      <c r="E9" s="18">
        <v>40</v>
      </c>
      <c r="F9" s="21">
        <v>2</v>
      </c>
      <c r="G9" s="7" t="str">
        <f>_xlfn.XLOOKUP(C4,Lookup!A4:A7,Lookup!C4:C7)</f>
        <v>Technical</v>
      </c>
      <c r="H9" s="24">
        <v>1</v>
      </c>
    </row>
    <row r="10" spans="1:12">
      <c r="A10" s="18">
        <v>9</v>
      </c>
      <c r="B10" s="5" t="s">
        <v>15</v>
      </c>
      <c r="C10" s="5" t="s">
        <v>7</v>
      </c>
      <c r="D10" s="5" t="s">
        <v>12</v>
      </c>
      <c r="E10" s="18">
        <v>16</v>
      </c>
      <c r="F10" s="21">
        <v>4</v>
      </c>
      <c r="G10" s="7" t="str">
        <f>_xlfn.XLOOKUP(C3,Lookup!A3:A6,Lookup!C3:C6)</f>
        <v>Service</v>
      </c>
      <c r="H10" s="24">
        <v>0</v>
      </c>
    </row>
    <row r="11" spans="1:12">
      <c r="A11" s="18">
        <v>10</v>
      </c>
      <c r="B11" s="5" t="s">
        <v>15</v>
      </c>
      <c r="C11" s="5" t="s">
        <v>9</v>
      </c>
      <c r="D11" s="5" t="s">
        <v>8</v>
      </c>
      <c r="E11" s="18">
        <v>22</v>
      </c>
      <c r="F11" s="21">
        <v>4</v>
      </c>
      <c r="G11" s="7" t="str">
        <f>_xlfn.XLOOKUP(C3,Lookup!A3:A6,Lookup!C3:C6)</f>
        <v>Service</v>
      </c>
      <c r="H11" s="24">
        <v>0</v>
      </c>
    </row>
    <row r="12" spans="1:12">
      <c r="A12" s="18">
        <v>11</v>
      </c>
      <c r="B12" s="5" t="s">
        <v>15</v>
      </c>
      <c r="C12" s="5" t="s">
        <v>11</v>
      </c>
      <c r="D12" s="5" t="s">
        <v>10</v>
      </c>
      <c r="E12" s="18">
        <v>32</v>
      </c>
      <c r="F12" s="21">
        <v>3</v>
      </c>
      <c r="G12" s="7" t="str">
        <f>_xlfn.XLOOKUP(C4,Lookup!A4:A7,Lookup!C4:C7)</f>
        <v>Technical</v>
      </c>
      <c r="H12" s="24">
        <v>1</v>
      </c>
    </row>
    <row r="13" spans="1:12">
      <c r="A13" s="18">
        <v>12</v>
      </c>
      <c r="B13" s="5" t="s">
        <v>15</v>
      </c>
      <c r="C13" s="5" t="s">
        <v>13</v>
      </c>
      <c r="D13" s="5" t="s">
        <v>12</v>
      </c>
      <c r="E13" s="18">
        <v>24</v>
      </c>
      <c r="F13" s="21">
        <v>5</v>
      </c>
      <c r="G13" s="7" t="str">
        <f>_xlfn.XLOOKUP(C4,Lookup!A4:A7,Lookup!C4:C7)</f>
        <v>Technical</v>
      </c>
      <c r="H13" s="24">
        <v>0</v>
      </c>
    </row>
    <row r="14" spans="1:12">
      <c r="A14" s="18">
        <v>12</v>
      </c>
      <c r="B14" s="5" t="s">
        <v>15</v>
      </c>
      <c r="C14" s="5" t="s">
        <v>13</v>
      </c>
      <c r="D14" s="5" t="s">
        <v>12</v>
      </c>
      <c r="E14" s="18">
        <v>24</v>
      </c>
      <c r="F14" s="21">
        <v>5</v>
      </c>
      <c r="G14" s="7" t="str">
        <f>_xlfn.XLOOKUP(C4,Lookup!A4:A7,Lookup!C4:C7)</f>
        <v>Technical</v>
      </c>
      <c r="H14" s="2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AD92D-6796-4151-BF80-7AD346C8C5E7}">
  <dimension ref="A2:C20"/>
  <sheetViews>
    <sheetView tabSelected="1" topLeftCell="A9" workbookViewId="0">
      <selection activeCell="M15" sqref="M15"/>
    </sheetView>
  </sheetViews>
  <sheetFormatPr defaultRowHeight="15"/>
  <cols>
    <col min="4" max="4" width="24.5703125" bestFit="1" customWidth="1"/>
  </cols>
  <sheetData>
    <row r="2" spans="1:3">
      <c r="A2" s="26"/>
      <c r="B2" s="26"/>
      <c r="C2" s="26"/>
    </row>
    <row r="3" spans="1:3">
      <c r="A3" s="8"/>
      <c r="B3" s="9"/>
      <c r="C3" s="10"/>
    </row>
    <row r="4" spans="1:3">
      <c r="A4" s="11"/>
      <c r="B4" s="12"/>
      <c r="C4" s="13"/>
    </row>
    <row r="5" spans="1:3">
      <c r="A5" s="11"/>
      <c r="B5" s="12"/>
      <c r="C5" s="13"/>
    </row>
    <row r="6" spans="1:3">
      <c r="A6" s="11"/>
      <c r="B6" s="12"/>
      <c r="C6" s="13"/>
    </row>
    <row r="7" spans="1:3">
      <c r="A7" s="11"/>
      <c r="B7" s="12"/>
      <c r="C7" s="13"/>
    </row>
    <row r="8" spans="1:3">
      <c r="A8" s="11"/>
      <c r="B8" s="12"/>
      <c r="C8" s="13"/>
    </row>
    <row r="9" spans="1:3">
      <c r="A9" s="11"/>
      <c r="B9" s="12"/>
      <c r="C9" s="13"/>
    </row>
    <row r="10" spans="1:3">
      <c r="A10" s="11"/>
      <c r="B10" s="12"/>
      <c r="C10" s="13"/>
    </row>
    <row r="11" spans="1:3">
      <c r="A11" s="11"/>
      <c r="B11" s="12"/>
      <c r="C11" s="13"/>
    </row>
    <row r="12" spans="1:3">
      <c r="A12" s="11"/>
      <c r="B12" s="12"/>
      <c r="C12" s="13"/>
    </row>
    <row r="13" spans="1:3">
      <c r="A13" s="11"/>
      <c r="B13" s="12"/>
      <c r="C13" s="13"/>
    </row>
    <row r="14" spans="1:3">
      <c r="A14" s="11"/>
      <c r="B14" s="12"/>
      <c r="C14" s="13"/>
    </row>
    <row r="15" spans="1:3">
      <c r="A15" s="11"/>
      <c r="B15" s="12"/>
      <c r="C15" s="13"/>
    </row>
    <row r="16" spans="1:3">
      <c r="A16" s="11"/>
      <c r="B16" s="12"/>
      <c r="C16" s="13"/>
    </row>
    <row r="17" spans="1:3">
      <c r="A17" s="11"/>
      <c r="B17" s="12"/>
      <c r="C17" s="13"/>
    </row>
    <row r="18" spans="1:3">
      <c r="A18" s="11"/>
      <c r="B18" s="12"/>
      <c r="C18" s="13"/>
    </row>
    <row r="19" spans="1:3">
      <c r="A19" s="11"/>
      <c r="B19" s="12"/>
      <c r="C19" s="13"/>
    </row>
    <row r="20" spans="1:3">
      <c r="A20" s="14"/>
      <c r="B20" s="15"/>
      <c r="C20" s="16"/>
    </row>
  </sheetData>
  <mergeCells count="1">
    <mergeCell ref="A2:C2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kanish singh</cp:lastModifiedBy>
  <cp:revision/>
  <dcterms:created xsi:type="dcterms:W3CDTF">2026-09-26T05:37:52Z</dcterms:created>
  <dcterms:modified xsi:type="dcterms:W3CDTF">2026-09-26T07:49:50Z</dcterms:modified>
  <cp:category/>
  <cp:contentStatus/>
</cp:coreProperties>
</file>